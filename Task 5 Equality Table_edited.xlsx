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omi\Downloads\"/>
    </mc:Choice>
  </mc:AlternateContent>
  <xr:revisionPtr revIDLastSave="0" documentId="8_{3F97441D-AE37-4148-AEB9-523F4F1246DB}" xr6:coauthVersionLast="47" xr6:coauthVersionMax="47" xr10:uidLastSave="{00000000-0000-0000-0000-000000000000}"/>
  <bookViews>
    <workbookView xWindow="-120" yWindow="-120" windowWidth="23280" windowHeight="14880" tabRatio="500" activeTab="1" xr2:uid="{00000000-000D-0000-FFFF-FFFF00000000}"/>
  </bookViews>
  <sheets>
    <sheet name="Data" sheetId="1" r:id="rId1"/>
    <sheet name="Analyse" sheetId="2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</calcChain>
</file>

<file path=xl/sharedStrings.xml><?xml version="1.0" encoding="utf-8"?>
<sst xmlns="http://schemas.openxmlformats.org/spreadsheetml/2006/main" count="99" uniqueCount="29">
  <si>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</si>
  <si>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</si>
  <si>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</si>
  <si>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</si>
  <si>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</si>
  <si>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</si>
  <si>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</si>
  <si>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</si>
  <si>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</si>
  <si>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</si>
  <si>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</si>
  <si>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</si>
  <si>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</si>
  <si>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</si>
  <si>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</si>
  <si>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</si>
  <si>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</si>
  <si>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</si>
  <si>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</si>
  <si>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Étiquettes de lignes</t>
  </si>
  <si>
    <t>Total général</t>
  </si>
  <si>
    <t>Étiquettes de colonnes</t>
  </si>
  <si>
    <t>Fair</t>
  </si>
  <si>
    <t>Highly Discriminative</t>
  </si>
  <si>
    <t>Unfair</t>
  </si>
  <si>
    <t>Nombre de Job Role</t>
  </si>
  <si>
    <t>Moyenne de Equality Score</t>
  </si>
  <si>
    <t>Analysis by professional role</t>
  </si>
  <si>
    <t>Analysis of average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</si>
</sst>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color theme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C7F18"/>
        </patternFill>
      </fill>
    </dxf>
  </dxfs>
  <tableStyles count="0" defaultTableStyle="TableStyleMedium2" defaultPivotStyle="PivotStyleLight16"/>
  <colors>
    <mruColors>
      <color rgb="FFFC7F1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e Luendu" refreshedDate="46070.801095370371" createdVersion="8" refreshedVersion="8" minRefreshableVersion="3" recordCount="37" xr:uid="{912FBDF0-E1FE-409D-916D-CCAE395CA994}">
  <cacheSource type="worksheet">
    <worksheetSource ref="A1:D38" sheet="Data"/>
  </cacheSource>
  <cacheFields count="4">
    <cacheField name="Factory" numFmtId="0">
      <sharedItems count="4">
        <s v="Daikibo Factory Meiyo"/>
        <s v="Daikibo Factory Seiko"/>
        <s v="Daikibo Berlin"/>
        <s v="Daikibo Shenzhen"/>
      </sharedItems>
    </cacheField>
    <cacheField name="Job Role" numFmtId="0">
      <sharedItems count="11">
        <s v="C-Level"/>
        <s v="VP"/>
        <s v="Director"/>
        <s v="Sr. Manager"/>
        <s v="Manager"/>
        <s v="Jr. Manager"/>
        <s v="Sr. Engineer"/>
        <s v="Engineer"/>
        <s v="Jr. Engineer"/>
        <s v="Operational Support"/>
        <s v="Machine Operator"/>
      </sharedItems>
    </cacheField>
    <cacheField name="Equality Score" numFmtId="2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x v="0"/>
    <x v="0"/>
    <n v="-25"/>
    <x v="0"/>
  </r>
  <r>
    <x v="0"/>
    <x v="1"/>
    <n v="-26"/>
    <x v="0"/>
  </r>
  <r>
    <x v="0"/>
    <x v="2"/>
    <n v="-19"/>
    <x v="1"/>
  </r>
  <r>
    <x v="0"/>
    <x v="3"/>
    <n v="-15"/>
    <x v="1"/>
  </r>
  <r>
    <x v="0"/>
    <x v="4"/>
    <n v="-14"/>
    <x v="1"/>
  </r>
  <r>
    <x v="0"/>
    <x v="5"/>
    <n v="-20"/>
    <x v="1"/>
  </r>
  <r>
    <x v="0"/>
    <x v="6"/>
    <n v="-5"/>
    <x v="2"/>
  </r>
  <r>
    <x v="0"/>
    <x v="7"/>
    <n v="-8"/>
    <x v="2"/>
  </r>
  <r>
    <x v="0"/>
    <x v="8"/>
    <n v="3"/>
    <x v="2"/>
  </r>
  <r>
    <x v="0"/>
    <x v="9"/>
    <n v="-22"/>
    <x v="0"/>
  </r>
  <r>
    <x v="0"/>
    <x v="10"/>
    <n v="-7"/>
    <x v="2"/>
  </r>
  <r>
    <x v="1"/>
    <x v="1"/>
    <n v="-19"/>
    <x v="1"/>
  </r>
  <r>
    <x v="1"/>
    <x v="2"/>
    <n v="-10"/>
    <x v="1"/>
  </r>
  <r>
    <x v="1"/>
    <x v="3"/>
    <n v="-21"/>
    <x v="0"/>
  </r>
  <r>
    <x v="1"/>
    <x v="4"/>
    <n v="-21"/>
    <x v="0"/>
  </r>
  <r>
    <x v="1"/>
    <x v="5"/>
    <n v="-24"/>
    <x v="0"/>
  </r>
  <r>
    <x v="1"/>
    <x v="6"/>
    <n v="-4"/>
    <x v="2"/>
  </r>
  <r>
    <x v="1"/>
    <x v="7"/>
    <n v="-7"/>
    <x v="2"/>
  </r>
  <r>
    <x v="1"/>
    <x v="8"/>
    <n v="4"/>
    <x v="2"/>
  </r>
  <r>
    <x v="1"/>
    <x v="9"/>
    <n v="-19"/>
    <x v="1"/>
  </r>
  <r>
    <x v="1"/>
    <x v="10"/>
    <n v="-5"/>
    <x v="2"/>
  </r>
  <r>
    <x v="2"/>
    <x v="3"/>
    <n v="-15"/>
    <x v="1"/>
  </r>
  <r>
    <x v="2"/>
    <x v="4"/>
    <n v="-16"/>
    <x v="1"/>
  </r>
  <r>
    <x v="2"/>
    <x v="5"/>
    <n v="-17"/>
    <x v="1"/>
  </r>
  <r>
    <x v="2"/>
    <x v="6"/>
    <n v="4"/>
    <x v="2"/>
  </r>
  <r>
    <x v="2"/>
    <x v="7"/>
    <n v="2"/>
    <x v="2"/>
  </r>
  <r>
    <x v="2"/>
    <x v="8"/>
    <n v="4"/>
    <x v="2"/>
  </r>
  <r>
    <x v="2"/>
    <x v="9"/>
    <n v="0"/>
    <x v="2"/>
  </r>
  <r>
    <x v="2"/>
    <x v="10"/>
    <n v="-6"/>
    <x v="2"/>
  </r>
  <r>
    <x v="3"/>
    <x v="3"/>
    <n v="-21"/>
    <x v="0"/>
  </r>
  <r>
    <x v="3"/>
    <x v="4"/>
    <n v="-19"/>
    <x v="1"/>
  </r>
  <r>
    <x v="3"/>
    <x v="5"/>
    <n v="-20"/>
    <x v="1"/>
  </r>
  <r>
    <x v="3"/>
    <x v="6"/>
    <n v="-5"/>
    <x v="2"/>
  </r>
  <r>
    <x v="3"/>
    <x v="7"/>
    <n v="-4"/>
    <x v="2"/>
  </r>
  <r>
    <x v="3"/>
    <x v="8"/>
    <n v="3"/>
    <x v="2"/>
  </r>
  <r>
    <x v="3"/>
    <x v="9"/>
    <n v="-7"/>
    <x v="2"/>
  </r>
  <r>
    <x v="3"/>
    <x v="10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52EDE9-D24F-4F2F-BC1E-02B1B5E94EA9}" name="Tableau croisé dynamique2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G3:H8" firstHeaderRow="1" firstDataRow="1" firstDataCol="1"/>
  <pivotFields count="4">
    <pivotField axis="axisRow" showAll="0">
      <items count="5">
        <item sd="0" x="2"/>
        <item sd="0" x="0"/>
        <item sd="0" x="1"/>
        <item sd="0" x="3"/>
        <item t="default"/>
      </items>
    </pivotField>
    <pivotField axis="axisRow" showAll="0">
      <items count="12">
        <item x="0"/>
        <item x="2"/>
        <item x="7"/>
        <item x="8"/>
        <item x="5"/>
        <item x="10"/>
        <item x="4"/>
        <item x="9"/>
        <item x="6"/>
        <item x="3"/>
        <item x="1"/>
        <item t="default"/>
      </items>
    </pivotField>
    <pivotField dataField="1" numFmtId="2" showAll="0"/>
    <pivotField showAll="0"/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Moyenne de Equality Score" fld="2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ACE39B-AFD7-436B-893F-17A77D410DD9}" name="Tableau croisé dynamique1" cacheId="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E9" firstHeaderRow="1" firstDataRow="2" firstDataCol="1"/>
  <pivotFields count="4">
    <pivotField axis="axisRow" showAll="0">
      <items count="5">
        <item sd="0" x="2"/>
        <item sd="0" x="0"/>
        <item sd="0" x="1"/>
        <item sd="0" x="3"/>
        <item t="default"/>
      </items>
    </pivotField>
    <pivotField axis="axisRow" dataField="1" showAll="0">
      <items count="12">
        <item x="0"/>
        <item x="2"/>
        <item x="7"/>
        <item x="8"/>
        <item x="5"/>
        <item x="10"/>
        <item x="4"/>
        <item x="9"/>
        <item x="6"/>
        <item x="3"/>
        <item x="1"/>
        <item t="default"/>
      </items>
    </pivotField>
    <pivotField numFmtId="2" showAll="0"/>
    <pivotField axis="axisCol" showAll="0">
      <items count="4">
        <item x="2"/>
        <item x="0"/>
        <item x="1"/>
        <item t="default"/>
      </items>
    </pivotField>
  </pivotFields>
  <rowFields count="2">
    <field x="0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Nombre de Job Rol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Normal="100" workbookViewId="0">
      <selection activeCell="B27" sqref="B27"/>
    </sheetView>
  </sheetViews>
  <sheetFormatPr baseColWidth="10" defaultColWidth="11.5703125" defaultRowHeight="12.75" x14ac:dyDescent="0.2"/>
  <cols>
    <col min="1" max="1" width="19.7109375" bestFit="1" customWidth="1"/>
    <col min="2" max="2" width="17.5703125" bestFit="1" customWidth="1"/>
    <col min="3" max="3" width="13.140625" style="1" bestFit="1" customWidth="1"/>
    <col min="4" max="4" width="18.28515625" bestFit="1" customWidth="1"/>
  </cols>
  <sheetData>
    <row r="1" spans="1:4" x14ac:dyDescent="0.2">
      <c r="A1" t="s">
        <v>0</v>
      </c>
      <c r="B1" t="s">
        <v>1</v>
      </c>
      <c r="C1" s="1" t="s">
        <v>2</v>
      </c>
      <c r="D1" t="s">
        <v>3</v>
      </c>
    </row>
    <row r="2" spans="1:4" x14ac:dyDescent="0.2">
      <c r="A2" t="s">
        <v>4</v>
      </c>
      <c r="B2" t="s">
        <v>5</v>
      </c>
      <c r="C2" s="1">
        <v>-25</v>
      </c>
      <c r="D2" t="str">
        <f>IF(ABS(C2)&lt;10, "Fair", IF(ABS(C2)&lt;=20, "Unfair", "Highly Discriminative"))</f>
        <v>Highly Discriminative</v>
      </c>
    </row>
    <row r="3" spans="1:4" x14ac:dyDescent="0.2">
      <c r="A3" t="s">
        <v>4</v>
      </c>
      <c r="B3" t="s">
        <v>6</v>
      </c>
      <c r="C3" s="1">
        <v>-26</v>
      </c>
      <c r="D3" t="str">
        <f>IF(ABS(C3)&lt;10, "Fair", IF(ABS(C3)&lt;=20, "Unfair", "Highly Discriminative"))</f>
        <v>Highly Discriminative</v>
      </c>
    </row>
    <row r="4" spans="1:4" x14ac:dyDescent="0.2">
      <c r="A4" t="s">
        <v>4</v>
      </c>
      <c r="B4" t="s">
        <v>7</v>
      </c>
      <c r="C4" s="1">
        <v>-19</v>
      </c>
      <c r="D4" t="str">
        <f t="shared" ref="D3:D38" si="0">IF(ABS(C4)&lt;10, "Fair", IF(ABS(C4)&lt;=20, "Unfair", "Highly Discriminative"))</f>
        <v>Unfair</v>
      </c>
    </row>
    <row r="5" spans="1:4" x14ac:dyDescent="0.2">
      <c r="A5" t="s">
        <v>4</v>
      </c>
      <c r="B5" t="s">
        <v>8</v>
      </c>
      <c r="C5" s="1">
        <v>-15</v>
      </c>
      <c r="D5" t="str">
        <f t="shared" si="0"/>
        <v>Unfair</v>
      </c>
    </row>
    <row r="6" spans="1:4" x14ac:dyDescent="0.2">
      <c r="A6" t="s">
        <v>4</v>
      </c>
      <c r="B6" t="s">
        <v>9</v>
      </c>
      <c r="C6" s="1">
        <v>-14</v>
      </c>
      <c r="D6" t="str">
        <f t="shared" si="0"/>
        <v>Unfair</v>
      </c>
    </row>
    <row r="7" spans="1:4" x14ac:dyDescent="0.2">
      <c r="A7" t="s">
        <v>4</v>
      </c>
      <c r="B7" t="s">
        <v>10</v>
      </c>
      <c r="C7" s="1">
        <v>-20</v>
      </c>
      <c r="D7" t="str">
        <f t="shared" si="0"/>
        <v>Unfair</v>
      </c>
    </row>
    <row r="8" spans="1:4" x14ac:dyDescent="0.2">
      <c r="A8" t="s">
        <v>4</v>
      </c>
      <c r="B8" t="s">
        <v>11</v>
      </c>
      <c r="C8" s="1">
        <v>-5</v>
      </c>
      <c r="D8" t="str">
        <f t="shared" si="0"/>
        <v>Fair</v>
      </c>
    </row>
    <row r="9" spans="1:4" x14ac:dyDescent="0.2">
      <c r="A9" t="s">
        <v>4</v>
      </c>
      <c r="B9" t="s">
        <v>12</v>
      </c>
      <c r="C9" s="1">
        <v>-8</v>
      </c>
      <c r="D9" t="str">
        <f t="shared" si="0"/>
        <v>Fair</v>
      </c>
    </row>
    <row r="10" spans="1:4" x14ac:dyDescent="0.2">
      <c r="A10" t="s">
        <v>4</v>
      </c>
      <c r="B10" t="s">
        <v>13</v>
      </c>
      <c r="C10" s="1">
        <v>3</v>
      </c>
      <c r="D10" t="str">
        <f t="shared" si="0"/>
        <v>Fair</v>
      </c>
    </row>
    <row r="11" spans="1:4" x14ac:dyDescent="0.2">
      <c r="A11" t="s">
        <v>4</v>
      </c>
      <c r="B11" t="s">
        <v>14</v>
      </c>
      <c r="C11" s="1">
        <v>-22</v>
      </c>
      <c r="D11" t="str">
        <f t="shared" si="0"/>
        <v>Highly Discriminative</v>
      </c>
    </row>
    <row r="12" spans="1:4" x14ac:dyDescent="0.2">
      <c r="A12" t="s">
        <v>4</v>
      </c>
      <c r="B12" t="s">
        <v>15</v>
      </c>
      <c r="C12" s="1">
        <v>-7</v>
      </c>
      <c r="D12" t="str">
        <f t="shared" si="0"/>
        <v>Fair</v>
      </c>
    </row>
    <row r="13" spans="1:4" x14ac:dyDescent="0.2">
      <c r="A13" t="s">
        <v>16</v>
      </c>
      <c r="B13" t="s">
        <v>6</v>
      </c>
      <c r="C13" s="1">
        <v>-19</v>
      </c>
      <c r="D13" t="str">
        <f t="shared" si="0"/>
        <v>Unfair</v>
      </c>
    </row>
    <row r="14" spans="1:4" x14ac:dyDescent="0.2">
      <c r="A14" t="s">
        <v>16</v>
      </c>
      <c r="B14" t="s">
        <v>7</v>
      </c>
      <c r="C14" s="1">
        <v>-10</v>
      </c>
      <c r="D14" t="str">
        <f t="shared" si="0"/>
        <v>Unfair</v>
      </c>
    </row>
    <row r="15" spans="1:4" x14ac:dyDescent="0.2">
      <c r="A15" t="s">
        <v>16</v>
      </c>
      <c r="B15" t="s">
        <v>8</v>
      </c>
      <c r="C15" s="1">
        <v>-21</v>
      </c>
      <c r="D15" t="str">
        <f t="shared" si="0"/>
        <v>Highly Discriminative</v>
      </c>
    </row>
    <row r="16" spans="1:4" x14ac:dyDescent="0.2">
      <c r="A16" t="s">
        <v>16</v>
      </c>
      <c r="B16" t="s">
        <v>9</v>
      </c>
      <c r="C16" s="1">
        <v>-21</v>
      </c>
      <c r="D16" t="str">
        <f t="shared" si="0"/>
        <v>Highly Discriminative</v>
      </c>
    </row>
    <row r="17" spans="1:4" x14ac:dyDescent="0.2">
      <c r="A17" t="s">
        <v>16</v>
      </c>
      <c r="B17" t="s">
        <v>10</v>
      </c>
      <c r="C17" s="1">
        <v>-24</v>
      </c>
      <c r="D17" t="str">
        <f t="shared" si="0"/>
        <v>Highly Discriminative</v>
      </c>
    </row>
    <row r="18" spans="1:4" x14ac:dyDescent="0.2">
      <c r="A18" t="s">
        <v>16</v>
      </c>
      <c r="B18" t="s">
        <v>11</v>
      </c>
      <c r="C18" s="1">
        <v>-4</v>
      </c>
      <c r="D18" t="str">
        <f t="shared" si="0"/>
        <v>Fair</v>
      </c>
    </row>
    <row r="19" spans="1:4" x14ac:dyDescent="0.2">
      <c r="A19" t="s">
        <v>16</v>
      </c>
      <c r="B19" t="s">
        <v>12</v>
      </c>
      <c r="C19" s="1">
        <v>-7</v>
      </c>
      <c r="D19" t="str">
        <f t="shared" si="0"/>
        <v>Fair</v>
      </c>
    </row>
    <row r="20" spans="1:4" x14ac:dyDescent="0.2">
      <c r="A20" t="s">
        <v>16</v>
      </c>
      <c r="B20" t="s">
        <v>13</v>
      </c>
      <c r="C20" s="1">
        <v>4</v>
      </c>
      <c r="D20" t="str">
        <f t="shared" si="0"/>
        <v>Fair</v>
      </c>
    </row>
    <row r="21" spans="1:4" x14ac:dyDescent="0.2">
      <c r="A21" t="s">
        <v>16</v>
      </c>
      <c r="B21" t="s">
        <v>14</v>
      </c>
      <c r="C21" s="1">
        <v>-19</v>
      </c>
      <c r="D21" t="str">
        <f t="shared" si="0"/>
        <v>Unfair</v>
      </c>
    </row>
    <row r="22" spans="1:4" x14ac:dyDescent="0.2">
      <c r="A22" t="s">
        <v>16</v>
      </c>
      <c r="B22" t="s">
        <v>15</v>
      </c>
      <c r="C22" s="1">
        <v>-5</v>
      </c>
      <c r="D22" t="str">
        <f t="shared" si="0"/>
        <v>Fair</v>
      </c>
    </row>
    <row r="23" spans="1:4" x14ac:dyDescent="0.2">
      <c r="A23" t="s">
        <v>17</v>
      </c>
      <c r="B23" t="s">
        <v>8</v>
      </c>
      <c r="C23" s="1">
        <v>-15</v>
      </c>
      <c r="D23" t="str">
        <f t="shared" si="0"/>
        <v>Unfair</v>
      </c>
    </row>
    <row r="24" spans="1:4" x14ac:dyDescent="0.2">
      <c r="A24" t="s">
        <v>17</v>
      </c>
      <c r="B24" t="s">
        <v>9</v>
      </c>
      <c r="C24" s="1">
        <v>-16</v>
      </c>
      <c r="D24" t="str">
        <f t="shared" si="0"/>
        <v>Unfair</v>
      </c>
    </row>
    <row r="25" spans="1:4" x14ac:dyDescent="0.2">
      <c r="A25" t="s">
        <v>17</v>
      </c>
      <c r="B25" t="s">
        <v>10</v>
      </c>
      <c r="C25" s="1">
        <v>-17</v>
      </c>
      <c r="D25" t="str">
        <f t="shared" si="0"/>
        <v>Unfair</v>
      </c>
    </row>
    <row r="26" spans="1:4" x14ac:dyDescent="0.2">
      <c r="A26" t="s">
        <v>17</v>
      </c>
      <c r="B26" t="s">
        <v>11</v>
      </c>
      <c r="C26" s="1">
        <v>4</v>
      </c>
      <c r="D26" t="str">
        <f t="shared" si="0"/>
        <v>Fair</v>
      </c>
    </row>
    <row r="27" spans="1:4" x14ac:dyDescent="0.2">
      <c r="A27" t="s">
        <v>17</v>
      </c>
      <c r="B27" t="s">
        <v>12</v>
      </c>
      <c r="C27" s="1">
        <v>2</v>
      </c>
      <c r="D27" t="str">
        <f t="shared" si="0"/>
        <v>Fair</v>
      </c>
    </row>
    <row r="28" spans="1:4" x14ac:dyDescent="0.2">
      <c r="A28" t="s">
        <v>17</v>
      </c>
      <c r="B28" t="s">
        <v>13</v>
      </c>
      <c r="C28" s="1">
        <v>4</v>
      </c>
      <c r="D28" t="str">
        <f t="shared" si="0"/>
        <v>Fair</v>
      </c>
    </row>
    <row r="29" spans="1:4" x14ac:dyDescent="0.2">
      <c r="A29" t="s">
        <v>17</v>
      </c>
      <c r="B29" t="s">
        <v>14</v>
      </c>
      <c r="C29" s="1">
        <v>0</v>
      </c>
      <c r="D29" t="str">
        <f t="shared" si="0"/>
        <v>Fair</v>
      </c>
    </row>
    <row r="30" spans="1:4" x14ac:dyDescent="0.2">
      <c r="A30" t="s">
        <v>17</v>
      </c>
      <c r="B30" t="s">
        <v>15</v>
      </c>
      <c r="C30" s="1">
        <v>-6</v>
      </c>
      <c r="D30" t="str">
        <f t="shared" si="0"/>
        <v>Fair</v>
      </c>
    </row>
    <row r="31" spans="1:4" x14ac:dyDescent="0.2">
      <c r="A31" t="s">
        <v>18</v>
      </c>
      <c r="B31" t="s">
        <v>8</v>
      </c>
      <c r="C31" s="1">
        <v>-21</v>
      </c>
      <c r="D31" t="str">
        <f t="shared" si="0"/>
        <v>Highly Discriminative</v>
      </c>
    </row>
    <row r="32" spans="1:4" x14ac:dyDescent="0.2">
      <c r="A32" t="s">
        <v>18</v>
      </c>
      <c r="B32" t="s">
        <v>9</v>
      </c>
      <c r="C32" s="1">
        <v>-19</v>
      </c>
      <c r="D32" t="str">
        <f t="shared" si="0"/>
        <v>Unfair</v>
      </c>
    </row>
    <row r="33" spans="1:4" x14ac:dyDescent="0.2">
      <c r="A33" t="s">
        <v>18</v>
      </c>
      <c r="B33" t="s">
        <v>10</v>
      </c>
      <c r="C33" s="1">
        <v>-20</v>
      </c>
      <c r="D33" t="str">
        <f t="shared" si="0"/>
        <v>Unfair</v>
      </c>
    </row>
    <row r="34" spans="1:4" x14ac:dyDescent="0.2">
      <c r="A34" t="s">
        <v>18</v>
      </c>
      <c r="B34" t="s">
        <v>11</v>
      </c>
      <c r="C34" s="1">
        <v>-5</v>
      </c>
      <c r="D34" t="str">
        <f t="shared" si="0"/>
        <v>Fair</v>
      </c>
    </row>
    <row r="35" spans="1:4" x14ac:dyDescent="0.2">
      <c r="A35" t="s">
        <v>18</v>
      </c>
      <c r="B35" t="s">
        <v>12</v>
      </c>
      <c r="C35" s="1">
        <v>-4</v>
      </c>
      <c r="D35" t="str">
        <f t="shared" si="0"/>
        <v>Fair</v>
      </c>
    </row>
    <row r="36" spans="1:4" x14ac:dyDescent="0.2">
      <c r="A36" t="s">
        <v>18</v>
      </c>
      <c r="B36" t="s">
        <v>13</v>
      </c>
      <c r="C36" s="1">
        <v>3</v>
      </c>
      <c r="D36" t="str">
        <f t="shared" si="0"/>
        <v>Fair</v>
      </c>
    </row>
    <row r="37" spans="1:4" x14ac:dyDescent="0.2">
      <c r="A37" t="s">
        <v>18</v>
      </c>
      <c r="B37" t="s">
        <v>14</v>
      </c>
      <c r="C37" s="1">
        <v>-7</v>
      </c>
      <c r="D37" t="str">
        <f t="shared" si="0"/>
        <v>Fair</v>
      </c>
    </row>
    <row r="38" spans="1:4" x14ac:dyDescent="0.2">
      <c r="A38" t="s">
        <v>18</v>
      </c>
      <c r="B38" t="s">
        <v>15</v>
      </c>
      <c r="C38" s="1">
        <v>-7</v>
      </c>
      <c r="D38" t="str">
        <f t="shared" si="0"/>
        <v>Fair</v>
      </c>
    </row>
  </sheetData>
  <conditionalFormatting sqref="D2:D100">
    <cfRule type="expression" dxfId="2" priority="3">
      <formula>$D2="Unfair"</formula>
    </cfRule>
    <cfRule type="expression" dxfId="1" priority="2">
      <formula>$D2="Fair"</formula>
    </cfRule>
    <cfRule type="expression" dxfId="0" priority="1">
      <formula>$D2="Highly Discriminative"</formula>
    </cfRule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1FFD5-D42F-4740-A44F-44CB5B808E91}">
  <dimension ref="A2:H9"/>
  <sheetViews>
    <sheetView tabSelected="1" workbookViewId="0">
      <selection activeCell="H21" sqref="H21"/>
    </sheetView>
  </sheetViews>
  <sheetFormatPr baseColWidth="10" defaultRowHeight="12.75" x14ac:dyDescent="0.2"/>
  <cols>
    <col min="1" max="1" width="23.42578125" bestFit="1" customWidth="1"/>
    <col min="2" max="2" width="24" bestFit="1" customWidth="1"/>
    <col min="3" max="3" width="20.28515625" bestFit="1" customWidth="1"/>
    <col min="4" max="4" width="6.42578125" bestFit="1" customWidth="1"/>
    <col min="5" max="5" width="13.140625" hidden="1" customWidth="1"/>
    <col min="6" max="6" width="12.28515625" bestFit="1" customWidth="1"/>
    <col min="7" max="7" width="23.42578125" bestFit="1" customWidth="1"/>
    <col min="8" max="8" width="26.140625" bestFit="1" customWidth="1"/>
    <col min="9" max="9" width="11.85546875" bestFit="1" customWidth="1"/>
    <col min="10" max="10" width="9" bestFit="1" customWidth="1"/>
    <col min="11" max="11" width="19.5703125" bestFit="1" customWidth="1"/>
    <col min="12" max="12" width="12.140625" bestFit="1" customWidth="1"/>
    <col min="13" max="13" width="3.5703125" bestFit="1" customWidth="1"/>
    <col min="14" max="14" width="25.5703125" bestFit="1" customWidth="1"/>
    <col min="15" max="15" width="8.42578125" bestFit="1" customWidth="1"/>
    <col min="16" max="16" width="11.85546875" bestFit="1" customWidth="1"/>
    <col min="17" max="17" width="9" bestFit="1" customWidth="1"/>
    <col min="18" max="18" width="19.5703125" bestFit="1" customWidth="1"/>
    <col min="19" max="19" width="12.140625" bestFit="1" customWidth="1"/>
    <col min="20" max="20" width="3.5703125" bestFit="1" customWidth="1"/>
    <col min="21" max="21" width="11.5703125" bestFit="1" customWidth="1"/>
    <col min="22" max="22" width="13.140625" bestFit="1" customWidth="1"/>
  </cols>
  <sheetData>
    <row r="2" spans="1:8" ht="18.75" customHeight="1" x14ac:dyDescent="0.2">
      <c r="A2" s="5" t="s">
        <v>27</v>
      </c>
      <c r="B2" s="6"/>
      <c r="C2" s="6"/>
      <c r="D2" s="6"/>
      <c r="G2" s="6" t="s">
        <v>28</v>
      </c>
      <c r="H2" s="6"/>
    </row>
    <row r="3" spans="1:8" x14ac:dyDescent="0.2">
      <c r="A3" s="2" t="s">
        <v>25</v>
      </c>
      <c r="B3" s="2" t="s">
        <v>21</v>
      </c>
      <c r="G3" s="2" t="s">
        <v>19</v>
      </c>
      <c r="H3" t="s">
        <v>26</v>
      </c>
    </row>
    <row r="4" spans="1:8" x14ac:dyDescent="0.2">
      <c r="A4" s="2" t="s">
        <v>19</v>
      </c>
      <c r="B4" t="s">
        <v>22</v>
      </c>
      <c r="C4" t="s">
        <v>23</v>
      </c>
      <c r="D4" t="s">
        <v>24</v>
      </c>
      <c r="E4" t="s">
        <v>20</v>
      </c>
      <c r="G4" s="3" t="s">
        <v>17</v>
      </c>
      <c r="H4" s="1">
        <v>-5.5</v>
      </c>
    </row>
    <row r="5" spans="1:8" x14ac:dyDescent="0.2">
      <c r="A5" s="3" t="s">
        <v>17</v>
      </c>
      <c r="B5" s="4">
        <v>5</v>
      </c>
      <c r="C5" s="4"/>
      <c r="D5" s="4">
        <v>3</v>
      </c>
      <c r="E5" s="4">
        <v>8</v>
      </c>
      <c r="G5" s="3" t="s">
        <v>4</v>
      </c>
      <c r="H5" s="1">
        <v>-14.363636363636363</v>
      </c>
    </row>
    <row r="6" spans="1:8" x14ac:dyDescent="0.2">
      <c r="A6" s="3" t="s">
        <v>4</v>
      </c>
      <c r="B6" s="4">
        <v>4</v>
      </c>
      <c r="C6" s="4">
        <v>3</v>
      </c>
      <c r="D6" s="4">
        <v>4</v>
      </c>
      <c r="E6" s="4">
        <v>11</v>
      </c>
      <c r="G6" s="3" t="s">
        <v>16</v>
      </c>
      <c r="H6" s="1">
        <v>-12.6</v>
      </c>
    </row>
    <row r="7" spans="1:8" x14ac:dyDescent="0.2">
      <c r="A7" s="3" t="s">
        <v>16</v>
      </c>
      <c r="B7" s="4">
        <v>4</v>
      </c>
      <c r="C7" s="4">
        <v>3</v>
      </c>
      <c r="D7" s="4">
        <v>3</v>
      </c>
      <c r="E7" s="4">
        <v>10</v>
      </c>
      <c r="G7" s="3" t="s">
        <v>18</v>
      </c>
      <c r="H7" s="1">
        <v>-10</v>
      </c>
    </row>
    <row r="8" spans="1:8" x14ac:dyDescent="0.2">
      <c r="A8" s="3" t="s">
        <v>18</v>
      </c>
      <c r="B8" s="4">
        <v>5</v>
      </c>
      <c r="C8" s="4">
        <v>1</v>
      </c>
      <c r="D8" s="4">
        <v>2</v>
      </c>
      <c r="E8" s="4">
        <v>8</v>
      </c>
      <c r="G8" s="3" t="s">
        <v>20</v>
      </c>
      <c r="H8" s="1">
        <v>-11.027027027027026</v>
      </c>
    </row>
    <row r="9" spans="1:8" x14ac:dyDescent="0.2">
      <c r="A9" s="3" t="s">
        <v>20</v>
      </c>
      <c r="B9" s="4">
        <v>18</v>
      </c>
      <c r="C9" s="4">
        <v>7</v>
      </c>
      <c r="D9" s="4">
        <v>12</v>
      </c>
      <c r="E9" s="4">
        <v>37</v>
      </c>
    </row>
  </sheetData>
  <mergeCells count="2">
    <mergeCell ref="A2:D2"/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Analyse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Naomie Luendu</cp:lastModifiedBy>
  <cp:revision>3</cp:revision>
  <dcterms:created xsi:type="dcterms:W3CDTF">2021-06-27T18:07:09Z</dcterms:created>
  <dcterms:modified xsi:type="dcterms:W3CDTF">2026-02-17T18:25:33Z</dcterms:modified>
  <dc:language>en-US</dc:language>
</cp:coreProperties>
</file>